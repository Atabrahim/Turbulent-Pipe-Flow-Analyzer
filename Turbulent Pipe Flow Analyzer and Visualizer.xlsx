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8E413E49-4806-4AF7-B013-41E38FFEF44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shboard" sheetId="1" r:id="rId1"/>
    <sheet name="Graphs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D4" i="2" s="1"/>
  <c r="E4" i="2" s="1"/>
  <c r="F4" i="2" s="1"/>
  <c r="C5" i="2"/>
  <c r="D5" i="2" s="1"/>
  <c r="E5" i="2" s="1"/>
  <c r="F5" i="2" s="1"/>
  <c r="C6" i="2"/>
  <c r="D6" i="2" s="1"/>
  <c r="E6" i="2" s="1"/>
  <c r="F6" i="2" s="1"/>
  <c r="C7" i="2"/>
  <c r="D7" i="2" s="1"/>
  <c r="E7" i="2" s="1"/>
  <c r="F7" i="2" s="1"/>
  <c r="C3" i="2"/>
  <c r="D3" i="2" s="1"/>
  <c r="E3" i="2" s="1"/>
  <c r="F3" i="2" s="1"/>
  <c r="F2" i="1"/>
  <c r="F7" i="1"/>
  <c r="F6" i="1"/>
  <c r="F4" i="1"/>
  <c r="F5" i="1"/>
  <c r="F8" i="1"/>
  <c r="F9" i="1"/>
  <c r="F3" i="1"/>
</calcChain>
</file>

<file path=xl/sharedStrings.xml><?xml version="1.0" encoding="utf-8"?>
<sst xmlns="http://schemas.openxmlformats.org/spreadsheetml/2006/main" count="23" uniqueCount="18">
  <si>
    <t>INPUT PARAMETERS</t>
  </si>
  <si>
    <t>Value</t>
  </si>
  <si>
    <t>CALCULATIONS</t>
  </si>
  <si>
    <t>Pipe Diameter (D) [m]</t>
  </si>
  <si>
    <t>Cross-sectional Area (A) [m²]</t>
  </si>
  <si>
    <t>Pipe Length (L) [m]</t>
  </si>
  <si>
    <t>Average Velocity (V) [m/s]</t>
  </si>
  <si>
    <t>Fluid Density (ρ) [kg/m³]</t>
  </si>
  <si>
    <t>Reynolds Number (Re)</t>
  </si>
  <si>
    <t>Dynamic Viscosity (μ) [Pa.s]</t>
  </si>
  <si>
    <t>Flow Regime</t>
  </si>
  <si>
    <t>Roughness (ε) [m]</t>
  </si>
  <si>
    <t>Friction Factor (f)</t>
  </si>
  <si>
    <t>Flow Rate (Q) [m³/s]</t>
  </si>
  <si>
    <t>Pressure Drop (ΔP) [Pa]</t>
  </si>
  <si>
    <t>Turbulent Intensity (I)</t>
  </si>
  <si>
    <t>Turbulent Kinetic Energy (k) [m²/s²]</t>
  </si>
  <si>
    <t>Velocity (V)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</si>
</sst>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Calibri"/>
    </font>
    <font>
      <b/>
      <sz val="14"/>
      <color theme="1"/>
      <name val="Calibri"/>
    </font>
    <font>
      <sz val="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3" fillId="2" borderId="0" xfId="0" applyFont="1" applyFill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2" borderId="1" xfId="0" applyFont="1" applyFill="1" applyBorder="1"/>
    <xf numFmtId="0" fontId="2" fillId="2" borderId="3" xfId="0" applyFont="1" applyFill="1" applyBorder="1"/>
    <xf numFmtId="0" fontId="2" fillId="2" borderId="2" xfId="0" applyFont="1" applyFill="1" applyBorder="1"/>
    <xf numFmtId="0" fontId="1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5">
    <dxf>
      <font>
        <color theme="1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4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Friction Factor vs Reynolds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Graphs!$D$3:$E$3</c:f>
              <c:numCache>
                <c:formatCode>General</c:formatCode>
                <c:ptCount val="2"/>
                <c:pt idx="0">
                  <c:v>1.2732395447351628E-3</c:v>
                </c:pt>
                <c:pt idx="1">
                  <c:v>50265.482457436687</c:v>
                </c:pt>
              </c:numCache>
            </c:numRef>
          </c:xVal>
          <c:yVal>
            <c:numRef>
              <c:f>Graphs!$D$4:$E$4</c:f>
              <c:numCache>
                <c:formatCode>General</c:formatCode>
                <c:ptCount val="2"/>
                <c:pt idx="0">
                  <c:v>2.5464790894703256E-3</c:v>
                </c:pt>
                <c:pt idx="1">
                  <c:v>25132.741228718343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75-427D-B17D-BDF8A8F29BF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Graphs!$D$3:$E$3</c:f>
              <c:numCache>
                <c:formatCode>General</c:formatCode>
                <c:ptCount val="2"/>
                <c:pt idx="0">
                  <c:v>1.2732395447351628E-3</c:v>
                </c:pt>
                <c:pt idx="1">
                  <c:v>50265.482457436687</c:v>
                </c:pt>
              </c:numCache>
            </c:numRef>
          </c:xVal>
          <c:yVal>
            <c:numRef>
              <c:f>Graphs!$D$5:$E$5</c:f>
              <c:numCache>
                <c:formatCode>General</c:formatCode>
                <c:ptCount val="2"/>
                <c:pt idx="0">
                  <c:v>3.8197186342054882E-3</c:v>
                </c:pt>
                <c:pt idx="1">
                  <c:v>16755.160819145563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75-427D-B17D-BDF8A8F29BF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Graphs!$D$3:$E$3</c:f>
              <c:numCache>
                <c:formatCode>General</c:formatCode>
                <c:ptCount val="2"/>
                <c:pt idx="0">
                  <c:v>1.2732395447351628E-3</c:v>
                </c:pt>
                <c:pt idx="1">
                  <c:v>50265.482457436687</c:v>
                </c:pt>
              </c:numCache>
            </c:numRef>
          </c:xVal>
          <c:yVal>
            <c:numRef>
              <c:f>Graphs!$D$6:$E$6</c:f>
              <c:numCache>
                <c:formatCode>General</c:formatCode>
                <c:ptCount val="2"/>
                <c:pt idx="0">
                  <c:v>5.0929581789406512E-3</c:v>
                </c:pt>
                <c:pt idx="1">
                  <c:v>12566.370614359172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75-427D-B17D-BDF8A8F29BF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Graphs!$D$3:$E$3</c:f>
              <c:numCache>
                <c:formatCode>General</c:formatCode>
                <c:ptCount val="2"/>
                <c:pt idx="0">
                  <c:v>1.2732395447351628E-3</c:v>
                </c:pt>
                <c:pt idx="1">
                  <c:v>50265.482457436687</c:v>
                </c:pt>
              </c:numCache>
            </c:numRef>
          </c:xVal>
          <c:yVal>
            <c:numRef>
              <c:f>Graphs!$D$7:$E$7</c:f>
              <c:numCache>
                <c:formatCode>General</c:formatCode>
                <c:ptCount val="2"/>
                <c:pt idx="0">
                  <c:v>6.3661977236758142E-3</c:v>
                </c:pt>
                <c:pt idx="1">
                  <c:v>10053.096491487337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75-427D-B17D-BDF8A8F29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861320"/>
        <c:axId val="1294468616"/>
      </c:scatterChart>
      <c:valAx>
        <c:axId val="950861320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Reynolds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468616"/>
        <c:crosses val="autoZero"/>
        <c:crossBetween val="midCat"/>
      </c:valAx>
      <c:valAx>
        <c:axId val="129446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Friction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861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Flow Rate vs Pressure Drop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Pressure Drop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Graphs!$B$3:$B$7</c:f>
              <c:numCache>
                <c:formatCode>General</c:formatCode>
                <c:ptCount val="5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</c:numCache>
            </c:numRef>
          </c:xVal>
          <c:yVal>
            <c:numRef>
              <c:f>Graphs!$F$3:$F$7</c:f>
              <c:numCache>
                <c:formatCode>General</c:formatCode>
                <c:ptCount val="5"/>
                <c:pt idx="0">
                  <c:v>4.074366543152521E-2</c:v>
                </c:pt>
                <c:pt idx="1">
                  <c:v>8.148733086305042E-2</c:v>
                </c:pt>
                <c:pt idx="2">
                  <c:v>0.12223099629457564</c:v>
                </c:pt>
                <c:pt idx="3">
                  <c:v>0.16297466172610084</c:v>
                </c:pt>
                <c:pt idx="4">
                  <c:v>0.20371832715762603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13-4011-B628-6C4FCB294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267080"/>
        <c:axId val="1259341320"/>
      </c:scatterChart>
      <c:valAx>
        <c:axId val="29926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Flow Rate (m³/s)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341320"/>
        <c:crosses val="autoZero"/>
        <c:crossBetween val="midCat"/>
      </c:valAx>
      <c:valAx>
        <c:axId val="125934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Pressure Drop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99267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1228725</xdr:colOff>
      <xdr:row>12</xdr:row>
      <xdr:rowOff>190500</xdr:rowOff>
    </xdr:from>
    <xdr:to>
      <xdr:col>10</xdr:col>
      <xdr:colOff>295275</xdr:colOff>
      <xdr:row>26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640903-7D96-CD48-9725-FD1CC6E9FC67}"/>
            </a:ext>
            <a:ext uri="{147F2762-F138-4A5C-976F-8EAC2B608ADB}">
              <a16:predDERef xmlns:a16="http://schemas.microsoft.com/office/drawing/2014/main" pred="{F78A0538-F25F-30BD-922C-38A9E9E63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12</xdr:row>
      <xdr:rowOff>190500</xdr:rowOff>
    </xdr:from>
    <xdr:to>
      <xdr:col>5</xdr:col>
      <xdr:colOff>390525</xdr:colOff>
      <xdr:row>26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B5D809-0D00-5EC7-199A-42E06EF14765}"/>
            </a:ext>
            <a:ext uri="{147F2762-F138-4A5C-976F-8EAC2B608ADB}">
              <a16:predDERef xmlns:a16="http://schemas.microsoft.com/office/drawing/2014/main" pred="{D4640903-7D96-CD48-9725-FD1CC6E9F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"/>
  <sheetViews>
    <sheetView workbookViewId="0">
      <selection activeCell="J21" sqref="J21"/>
    </sheetView>
  </sheetViews>
  <sheetFormatPr defaultRowHeight="12"/>
  <cols>
    <col min="1" max="1" width="3" style="4" customWidth="1"/>
    <col min="2" max="2" width="27.7109375" style="4" bestFit="1" customWidth="1"/>
    <col min="3" max="3" width="18.7109375" style="4" bestFit="1" customWidth="1"/>
    <col min="4" max="4" width="9.140625" style="4"/>
    <col min="5" max="5" width="30.140625" style="4" bestFit="1" customWidth="1"/>
    <col min="6" max="6" width="18.85546875" style="4" bestFit="1" customWidth="1"/>
    <col min="7" max="16384" width="9.140625" style="4"/>
  </cols>
  <sheetData>
    <row r="1" spans="2:6" ht="18.75">
      <c r="B1" s="2" t="s">
        <v>0</v>
      </c>
      <c r="C1" s="2" t="s">
        <v>1</v>
      </c>
      <c r="E1" s="2" t="s">
        <v>2</v>
      </c>
      <c r="F1" s="2" t="s">
        <v>1</v>
      </c>
    </row>
    <row r="2" spans="2:6" ht="15.75">
      <c r="B2" s="5" t="s">
        <v>3</v>
      </c>
      <c r="C2" s="6">
        <v>1</v>
      </c>
      <c r="E2" s="5" t="s">
        <v>4</v>
      </c>
      <c r="F2" s="3">
        <f>PI()*C2^2/4</f>
        <v>0.78539816339744828</v>
      </c>
    </row>
    <row r="3" spans="2:6" ht="15.75">
      <c r="B3" s="5" t="s">
        <v>5</v>
      </c>
      <c r="C3" s="6">
        <v>1</v>
      </c>
      <c r="E3" s="5" t="s">
        <v>6</v>
      </c>
      <c r="F3" s="3">
        <f ca="1">C6/F3</f>
        <v>0</v>
      </c>
    </row>
    <row r="4" spans="2:6" ht="15.75">
      <c r="B4" s="5" t="s">
        <v>7</v>
      </c>
      <c r="C4" s="6">
        <v>1</v>
      </c>
      <c r="E4" s="5" t="s">
        <v>8</v>
      </c>
      <c r="F4" s="3">
        <f ca="1">(C4*F4*C2)/C5</f>
        <v>0</v>
      </c>
    </row>
    <row r="5" spans="2:6" ht="15.75">
      <c r="B5" s="5" t="s">
        <v>9</v>
      </c>
      <c r="C5" s="6">
        <v>1</v>
      </c>
      <c r="E5" s="5" t="s">
        <v>10</v>
      </c>
      <c r="F5" s="3">
        <f ca="1">IF(F5&lt;2300,"Laminar",IF(F5&lt;=4000,"Transitional","Turbulent"))</f>
        <v>0</v>
      </c>
    </row>
    <row r="6" spans="2:6" ht="15.75">
      <c r="B6" s="5" t="s">
        <v>11</v>
      </c>
      <c r="C6" s="6">
        <v>1</v>
      </c>
      <c r="E6" s="5" t="s">
        <v>12</v>
      </c>
      <c r="F6" s="3">
        <f ca="1">IF(F5&lt;2300,64/F5,0.25/(LOG10(C5/(3.7*C2)+5.74/F5^0.9)^2))</f>
        <v>0</v>
      </c>
    </row>
    <row r="7" spans="2:6" ht="15.75">
      <c r="B7" s="5" t="s">
        <v>13</v>
      </c>
      <c r="C7" s="6">
        <v>1</v>
      </c>
      <c r="E7" s="5" t="s">
        <v>14</v>
      </c>
      <c r="F7" s="3">
        <f ca="1">F6*(C3/C2)*(C4*F4^2/2)</f>
        <v>0</v>
      </c>
    </row>
    <row r="8" spans="2:6" ht="15.75">
      <c r="E8" s="5" t="s">
        <v>15</v>
      </c>
      <c r="F8" s="3">
        <f ca="1">0.16*(F5^-0.125)</f>
        <v>0</v>
      </c>
    </row>
    <row r="9" spans="2:6" ht="15.75">
      <c r="E9" s="5" t="s">
        <v>16</v>
      </c>
      <c r="F9" s="3">
        <f ca="1">1.5*(F8*F4)^2</f>
        <v>0</v>
      </c>
    </row>
  </sheetData>
  <conditionalFormatting sqref="F2:F9">
    <cfRule type="notContainsBlanks" dxfId="4" priority="5">
      <formula>LEN(TRIM(F2))&gt;0</formula>
    </cfRule>
  </conditionalFormatting>
  <conditionalFormatting sqref="C2:C7">
    <cfRule type="notContainsBlanks" dxfId="3" priority="4">
      <formula>LEN(TRIM(C2))&gt;0</formula>
    </cfRule>
  </conditionalFormatting>
  <conditionalFormatting sqref="F5">
    <cfRule type="expression" dxfId="2" priority="3">
      <formula>"Laminar"</formula>
    </cfRule>
  </conditionalFormatting>
  <conditionalFormatting sqref="F5">
    <cfRule type="expression" dxfId="1" priority="2">
      <formula>"Transitional"</formula>
    </cfRule>
  </conditionalFormatting>
  <conditionalFormatting sqref="F5">
    <cfRule type="expression" dxfId="0" priority="1">
      <formula>"Turbulent"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DC33-762D-4AED-86F7-39740A23971C}">
  <dimension ref="B2:J7"/>
  <sheetViews>
    <sheetView tabSelected="1" workbookViewId="0">
      <selection activeCell="H4" sqref="H4"/>
    </sheetView>
  </sheetViews>
  <sheetFormatPr defaultRowHeight="15.75"/>
  <cols>
    <col min="1" max="1" width="3" style="1" customWidth="1"/>
    <col min="2" max="2" width="23.28515625" style="1" bestFit="1" customWidth="1"/>
    <col min="3" max="3" width="29.7109375" style="1" bestFit="1" customWidth="1"/>
    <col min="4" max="4" width="26.42578125" style="1" bestFit="1" customWidth="1"/>
    <col min="5" max="5" width="36.5703125" style="1" bestFit="1" customWidth="1"/>
    <col min="6" max="6" width="27.42578125" style="1" bestFit="1" customWidth="1"/>
    <col min="7" max="8" width="9.140625" style="1"/>
    <col min="9" max="9" width="22.140625" style="1" bestFit="1" customWidth="1"/>
    <col min="10" max="10" width="17.140625" style="1" bestFit="1" customWidth="1"/>
    <col min="11" max="16384" width="9.140625" style="1"/>
  </cols>
  <sheetData>
    <row r="2" spans="2:10" ht="18.75">
      <c r="B2" s="7" t="s">
        <v>13</v>
      </c>
      <c r="C2" s="8" t="s">
        <v>17</v>
      </c>
      <c r="D2" s="9" t="s">
        <v>8</v>
      </c>
      <c r="E2" s="10" t="s">
        <v>12</v>
      </c>
      <c r="F2" s="2" t="s">
        <v>14</v>
      </c>
      <c r="I2" s="11"/>
    </row>
    <row r="3" spans="2:10">
      <c r="B3" s="12">
        <v>1E-3</v>
      </c>
      <c r="C3" s="13">
        <f>B3/(PI()*Dashboard!C$2^2/4)</f>
        <v>1.2732395447351628E-3</v>
      </c>
      <c r="D3" s="14">
        <f>(Dashboard!C$4*C3*Dashboard!C$2)/Dashboard!C$5</f>
        <v>1.2732395447351628E-3</v>
      </c>
      <c r="E3" s="15">
        <f>IF(D3&lt;2300,64/D3,0.25/(LOG10((Dashboard!C$5/(3.7*Dashboard!C$2)) + (5.74/D3^0.9))^2))</f>
        <v>50265.482457436687</v>
      </c>
      <c r="F3" s="16">
        <f>E3*(Dashboard!C$3/Dashboard!C$2)*(Dashboard!C$4*C3^2/2)</f>
        <v>4.074366543152521E-2</v>
      </c>
      <c r="J3" s="11"/>
    </row>
    <row r="4" spans="2:10">
      <c r="B4" s="12">
        <v>2E-3</v>
      </c>
      <c r="C4" s="13">
        <f>B4/(PI()*Dashboard!C$2^2/4)</f>
        <v>2.5464790894703256E-3</v>
      </c>
      <c r="D4" s="14">
        <f>(Dashboard!C$4*C4*Dashboard!C$2)/Dashboard!C$5</f>
        <v>2.5464790894703256E-3</v>
      </c>
      <c r="E4" s="15">
        <f>IF(D4&lt;2300,64/D4,0.25/(LOG10((Dashboard!C$5/(3.7*Dashboard!C$2)) + (5.74/D4^0.9))^2))</f>
        <v>25132.741228718343</v>
      </c>
      <c r="F4" s="16">
        <f>E4*(Dashboard!C$3/Dashboard!C$2)*(Dashboard!C$4*C4^2/2)</f>
        <v>8.148733086305042E-2</v>
      </c>
    </row>
    <row r="5" spans="2:10">
      <c r="B5" s="12">
        <v>3.0000000000000001E-3</v>
      </c>
      <c r="C5" s="13">
        <f>B5/(PI()*Dashboard!C$2^2/4)</f>
        <v>3.8197186342054882E-3</v>
      </c>
      <c r="D5" s="14">
        <f>(Dashboard!C$4*C5*Dashboard!C$2)/Dashboard!C$5</f>
        <v>3.8197186342054882E-3</v>
      </c>
      <c r="E5" s="15">
        <f>IF(D5&lt;2300,64/D5,0.25/(LOG10((Dashboard!C$5/(3.7*Dashboard!C$2)) + (5.74/D5^0.9))^2))</f>
        <v>16755.160819145563</v>
      </c>
      <c r="F5" s="16">
        <f>E5*(Dashboard!C$3/Dashboard!C$2)*(Dashboard!C$4*C5^2/2)</f>
        <v>0.12223099629457564</v>
      </c>
    </row>
    <row r="6" spans="2:10">
      <c r="B6" s="12">
        <v>4.0000000000000001E-3</v>
      </c>
      <c r="C6" s="13">
        <f>B6/(PI()*Dashboard!C$2^2/4)</f>
        <v>5.0929581789406512E-3</v>
      </c>
      <c r="D6" s="14">
        <f>(Dashboard!C$4*C6*Dashboard!C$2)/Dashboard!C$5</f>
        <v>5.0929581789406512E-3</v>
      </c>
      <c r="E6" s="15">
        <f>IF(D6&lt;2300,64/D6,0.25/(LOG10((Dashboard!C$5/(3.7*Dashboard!C$2)) + (5.74/D6^0.9))^2))</f>
        <v>12566.370614359172</v>
      </c>
      <c r="F6" s="16">
        <f>E6*(Dashboard!C$3/Dashboard!C$2)*(Dashboard!C$4*C6^2/2)</f>
        <v>0.16297466172610084</v>
      </c>
    </row>
    <row r="7" spans="2:10">
      <c r="B7" s="12">
        <v>5.0000000000000001E-3</v>
      </c>
      <c r="C7" s="13">
        <f>B7/(PI()*Dashboard!C$2^2/4)</f>
        <v>6.3661977236758142E-3</v>
      </c>
      <c r="D7" s="14">
        <f>(Dashboard!C$4*C7*Dashboard!C$2)/Dashboard!C$5</f>
        <v>6.3661977236758142E-3</v>
      </c>
      <c r="E7" s="15">
        <f>IF(D7&lt;2300,64/D7,0.25/(LOG10((Dashboard!C$5/(3.7*Dashboard!C$2)) + (5.74/D7^0.9))^2))</f>
        <v>10053.096491487337</v>
      </c>
      <c r="F7" s="16">
        <f>E7*(Dashboard!C$3/Dashboard!C$2)*(Dashboard!C$4*C7^2/2)</f>
        <v>0.20371832715762603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2025-04-26T19:36:27Z</dcterms:created>
  <dcterms:modified xsi:type="dcterms:W3CDTF">2025-04-28T10:26:22Z</dcterms:modified>
  <cp:category/>
  <cp:contentStatus/>
</cp:coreProperties>
</file>